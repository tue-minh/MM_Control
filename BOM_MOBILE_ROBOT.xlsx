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PCB\MM_control\"/>
    </mc:Choice>
  </mc:AlternateContent>
  <xr:revisionPtr revIDLastSave="0" documentId="13_ncr:1_{4CDDF6E0-7A81-445D-860D-7BFF50385DCB}" xr6:coauthVersionLast="47" xr6:coauthVersionMax="47" xr10:uidLastSave="{00000000-0000-0000-0000-000000000000}"/>
  <bookViews>
    <workbookView xWindow="-108" yWindow="-108" windowWidth="23256" windowHeight="12456" xr2:uid="{2995F8C9-4ADE-43C8-9244-E1DCC110B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4" i="1"/>
  <c r="J25" i="1" l="1"/>
</calcChain>
</file>

<file path=xl/sharedStrings.xml><?xml version="1.0" encoding="utf-8"?>
<sst xmlns="http://schemas.openxmlformats.org/spreadsheetml/2006/main" count="102" uniqueCount="55">
  <si>
    <t>Danh sách linh kiện dự kiến cho Mobile Robot</t>
  </si>
  <si>
    <t>Tên thiết bị</t>
  </si>
  <si>
    <t>STT</t>
  </si>
  <si>
    <t>Tên / Mã linh kiện</t>
  </si>
  <si>
    <t>Thông số kỹ thuật</t>
  </si>
  <si>
    <t>Link (tham khảo)</t>
  </si>
  <si>
    <t>Bảng theo dõi</t>
  </si>
  <si>
    <t>Đơn vị</t>
  </si>
  <si>
    <t>Thành tiền (VND)</t>
  </si>
  <si>
    <t>Đơn giá</t>
  </si>
  <si>
    <t>Ghi chú</t>
  </si>
  <si>
    <t>Số lượng (tối thiểu)</t>
  </si>
  <si>
    <t>Số lượng (chi)</t>
  </si>
  <si>
    <t>DRV8872DDA</t>
  </si>
  <si>
    <t>IC điều khiển động cơ DC</t>
  </si>
  <si>
    <t>STM32F407VET6</t>
  </si>
  <si>
    <t>Vi điều khiển</t>
  </si>
  <si>
    <t>TypeC 16P SMD</t>
  </si>
  <si>
    <t>Cổng kết nối TypeC</t>
  </si>
  <si>
    <t>TPS5430DDA</t>
  </si>
  <si>
    <t>IC nguồn (xung)</t>
  </si>
  <si>
    <t>IC nguồn (tuyến tính)</t>
  </si>
  <si>
    <t>AMS1117</t>
  </si>
  <si>
    <t>TJA1051T/3</t>
  </si>
  <si>
    <t>IC giao tiếp CAN</t>
  </si>
  <si>
    <t>Crystal 8MHz 5032 - 2P</t>
  </si>
  <si>
    <t>Thạch anh</t>
  </si>
  <si>
    <t>XT30PW-M</t>
  </si>
  <si>
    <t>Jack nguồn</t>
  </si>
  <si>
    <t>Cuộn cảm</t>
  </si>
  <si>
    <t>Chiếc</t>
  </si>
  <si>
    <t>Điện trở</t>
  </si>
  <si>
    <t>Cầu đấu dây kết nối</t>
  </si>
  <si>
    <t>Tụ điện</t>
  </si>
  <si>
    <t>R - 120 (smd)</t>
  </si>
  <si>
    <t>R - 0.2 (smd)</t>
  </si>
  <si>
    <t>R - 1M (smd)</t>
  </si>
  <si>
    <t>R - 3.24k (smd)</t>
  </si>
  <si>
    <t>R - 43k (smd)</t>
  </si>
  <si>
    <t>C - 2.2uf (smd)</t>
  </si>
  <si>
    <t>C - 4.7uf (tantalum)</t>
  </si>
  <si>
    <t>C - 220uf (tantalum)</t>
  </si>
  <si>
    <t>C - 47uf (tht)</t>
  </si>
  <si>
    <t>Click</t>
  </si>
  <si>
    <t>Tổng</t>
  </si>
  <si>
    <t>Gia công PCB</t>
  </si>
  <si>
    <t>Mạch điện tử</t>
  </si>
  <si>
    <t>KT: 10x10 cm
150 ~ 200k</t>
  </si>
  <si>
    <t>MDA7050-220M</t>
  </si>
  <si>
    <t>KF128 3.81mm - 2P</t>
  </si>
  <si>
    <t>_ Điều khiển đồng thời: 1 động cơ
_ 6.5 - 45V (3.6A peak)</t>
  </si>
  <si>
    <t>_ Socket: LQFP-100</t>
  </si>
  <si>
    <t>_ 1Mhz CANFD bit-rate support</t>
  </si>
  <si>
    <t>_ 5.5 - 36V input, adjustable output
_ 4A peak
_ 500KHz switching freq</t>
  </si>
  <si>
    <t>_ 500VDC with 15A continuous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</si>
</sst>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VND]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0" fontId="2" fillId="2" borderId="5" xfId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hkien.cxtvn.com/12090-mda7050-220m-cuon-cam-220-22uh-66x73mm-smd.html" TargetMode="External"/><Relationship Id="rId13" Type="http://schemas.openxmlformats.org/officeDocument/2006/relationships/hyperlink" Target="http://www.advanced-monolithic.com/pdf/ds1117.pdf" TargetMode="External"/><Relationship Id="rId18" Type="http://schemas.openxmlformats.org/officeDocument/2006/relationships/hyperlink" Target="https://linhkien.cxtvn.com/2354-tu-0603-khong-phan-cuc.html" TargetMode="External"/><Relationship Id="rId3" Type="http://schemas.openxmlformats.org/officeDocument/2006/relationships/hyperlink" Target="https://linhkien.cxtvn.com/6914-cong-type-c-cai-16p-usb-31-v25c.html" TargetMode="External"/><Relationship Id="rId21" Type="http://schemas.openxmlformats.org/officeDocument/2006/relationships/hyperlink" Target="https://linhkien.cxtvn.com/11292-tu-hoa-47uf-25v-5x11mm-10c.html" TargetMode="External"/><Relationship Id="rId7" Type="http://schemas.openxmlformats.org/officeDocument/2006/relationships/hyperlink" Target="https://shopee.vn/XT30U-F-XT30UPB-XT30PW-Nam-N%E1%BB%AF-Chu%E1%BB%91i-K%E1%BA%BFt-N%E1%BB%91i-M%C3%B4-H%C3%ACnh-M%C3%A1y-Bay-Pin-%C4%90%E1%BB%99ng-C%C6%A1-K%E1%BA%BFt-N%E1%BB%91i-C%E1%BA%AFm-i.1322271971.48157029282?xptdk=ad9f35df-672f-4888-a88b-add1f8a1dbc6" TargetMode="External"/><Relationship Id="rId12" Type="http://schemas.openxmlformats.org/officeDocument/2006/relationships/hyperlink" Target="https://shopee.vn/IC-giao-ti%E1%BA%BFp-LIN-can-TJA1020-TJA1040-TJA1050-TJA1042-TJA1021-TJA1051-TJA1051T-3-TJA1051AT-3-i.1700688577.53306315153?xptdk=64b8900e-4a30-4555-aba9-c803361b7902" TargetMode="External"/><Relationship Id="rId17" Type="http://schemas.openxmlformats.org/officeDocument/2006/relationships/hyperlink" Target="https://linhkien.cxtvn.com/6781-dien-tro-0603-5-thong-so-tu-1k-den-91k.html" TargetMode="External"/><Relationship Id="rId2" Type="http://schemas.openxmlformats.org/officeDocument/2006/relationships/hyperlink" Target="https://linhkien.cxtvn.com/1563-stm32f407vet6-ic-mcu-32-bit-512kb-flash-100lqfp.html" TargetMode="External"/><Relationship Id="rId16" Type="http://schemas.openxmlformats.org/officeDocument/2006/relationships/hyperlink" Target="https://linhkien.cxtvn.com/7972-dien-tro-324k-0603-1-100c.html" TargetMode="External"/><Relationship Id="rId20" Type="http://schemas.openxmlformats.org/officeDocument/2006/relationships/hyperlink" Target="https://linhkien.cxtvn.com/2032-tu-tantalum-7343-cac-gia-tri.html" TargetMode="External"/><Relationship Id="rId1" Type="http://schemas.openxmlformats.org/officeDocument/2006/relationships/hyperlink" Target="https://shopee.vn/(5-c%C3%A1i)-100-DRV8870-DRV8871-DRV8872-DRV8870DDAR-DRV8871DDAR-DRV8872DDAR-SOP-8-i.1846986068.53565136214?extraParams=%7B%22display_model_id%22%3A431297775592%2C%22model_selection_logic%22%3A3%7D" TargetMode="External"/><Relationship Id="rId6" Type="http://schemas.openxmlformats.org/officeDocument/2006/relationships/hyperlink" Target="https://shopee.vn/10-Chi%E1%BA%BFc-TPS5430DDAR-SOP8-TPS5430-5430-SOP-8-M%E1%BB%9Bi-Ch%C3%ADnh-H%C3%A3ng-C%C3%B2n-H%C3%A0ng-Chipset-i.1723113099.54515707240?extraParams=%7B%22display_model_id%22%3A391342981373%2C%22model_selection_logic%22%3A3%7D" TargetMode="External"/><Relationship Id="rId11" Type="http://schemas.openxmlformats.org/officeDocument/2006/relationships/hyperlink" Target="https://linhkien.cxtvn.com/1388-thach-anh-5032-2-chan-dan.html" TargetMode="External"/><Relationship Id="rId5" Type="http://schemas.openxmlformats.org/officeDocument/2006/relationships/hyperlink" Target="https://machin.cxtvn.com/" TargetMode="External"/><Relationship Id="rId15" Type="http://schemas.openxmlformats.org/officeDocument/2006/relationships/hyperlink" Target="https://banlinhkiendientu.vn/dien-tro-dan-0603-1m-1-day-50c/" TargetMode="External"/><Relationship Id="rId10" Type="http://schemas.openxmlformats.org/officeDocument/2006/relationships/hyperlink" Target="https://banlinhkiendientu.vn/dien-tro-dan-2512-120r-121-1w-5-day-10-chiec/" TargetMode="External"/><Relationship Id="rId19" Type="http://schemas.openxmlformats.org/officeDocument/2006/relationships/hyperlink" Target="https://linhkien.cxtvn.com/2032-tu-tantalum-7343-cac-gia-tri.html" TargetMode="External"/><Relationship Id="rId4" Type="http://schemas.openxmlformats.org/officeDocument/2006/relationships/hyperlink" Target="https://varttech.com/pcb-order" TargetMode="External"/><Relationship Id="rId9" Type="http://schemas.openxmlformats.org/officeDocument/2006/relationships/hyperlink" Target="https://linhkien.cxtvn.com/9147-cau-dau-kf128-381mm-chan-thang.html" TargetMode="External"/><Relationship Id="rId14" Type="http://schemas.openxmlformats.org/officeDocument/2006/relationships/hyperlink" Target="https://banlinhkiendientu.vn/dien-tro-dan-2512-0-2r-3w-1-day-10-chiec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F500-565A-47B2-987B-625B356F32E2}">
  <dimension ref="A1:K36"/>
  <sheetViews>
    <sheetView tabSelected="1" zoomScale="115" zoomScaleNormal="115" workbookViewId="0">
      <selection activeCell="J21" sqref="J21"/>
    </sheetView>
  </sheetViews>
  <sheetFormatPr defaultColWidth="9.109375" defaultRowHeight="14.4" x14ac:dyDescent="0.3"/>
  <cols>
    <col min="1" max="1" width="3.88671875" style="3" bestFit="1" customWidth="1"/>
    <col min="2" max="2" width="19.77734375" style="3" bestFit="1" customWidth="1"/>
    <col min="3" max="3" width="32.6640625" style="3" bestFit="1" customWidth="1"/>
    <col min="4" max="4" width="14.88671875" style="3" bestFit="1" customWidth="1"/>
    <col min="5" max="5" width="21.33203125" style="3" bestFit="1" customWidth="1"/>
    <col min="6" max="6" width="16.77734375" style="3" bestFit="1" customWidth="1"/>
    <col min="7" max="7" width="12.44140625" style="3" bestFit="1" customWidth="1"/>
    <col min="8" max="8" width="6.109375" style="3" bestFit="1" customWidth="1"/>
    <col min="9" max="9" width="10.77734375" style="10" bestFit="1" customWidth="1"/>
    <col min="10" max="10" width="15" style="3" bestFit="1" customWidth="1"/>
    <col min="11" max="11" width="11.6640625" style="10" bestFit="1" customWidth="1"/>
    <col min="12" max="16384" width="9.109375" style="3"/>
  </cols>
  <sheetData>
    <row r="1" spans="1:11" ht="19.8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7.399999999999999" x14ac:dyDescent="0.3">
      <c r="A2" s="23" t="s">
        <v>1</v>
      </c>
      <c r="B2" s="23"/>
      <c r="C2" s="23"/>
      <c r="D2" s="23"/>
      <c r="E2" s="23"/>
      <c r="F2" s="25" t="s">
        <v>6</v>
      </c>
      <c r="G2" s="26"/>
      <c r="H2" s="26"/>
      <c r="I2" s="26"/>
      <c r="J2" s="26"/>
      <c r="K2" s="27"/>
    </row>
    <row r="3" spans="1:11" x14ac:dyDescent="0.3">
      <c r="A3" s="2" t="s">
        <v>2</v>
      </c>
      <c r="B3" s="2" t="s">
        <v>3</v>
      </c>
      <c r="C3" s="2" t="s">
        <v>4</v>
      </c>
      <c r="D3" s="2" t="s">
        <v>5</v>
      </c>
      <c r="E3" s="6" t="s">
        <v>10</v>
      </c>
      <c r="F3" s="2" t="s">
        <v>11</v>
      </c>
      <c r="G3" s="2" t="s">
        <v>12</v>
      </c>
      <c r="H3" s="2" t="s">
        <v>7</v>
      </c>
      <c r="I3" s="1" t="s">
        <v>9</v>
      </c>
      <c r="J3" s="2" t="s">
        <v>8</v>
      </c>
      <c r="K3" s="1" t="s">
        <v>10</v>
      </c>
    </row>
    <row r="4" spans="1:11" ht="28.8" x14ac:dyDescent="0.3">
      <c r="A4" s="4">
        <v>1</v>
      </c>
      <c r="B4" s="5" t="s">
        <v>13</v>
      </c>
      <c r="C4" s="16" t="s">
        <v>50</v>
      </c>
      <c r="D4" s="11" t="s">
        <v>43</v>
      </c>
      <c r="E4" s="7" t="s">
        <v>14</v>
      </c>
      <c r="F4" s="5">
        <v>12</v>
      </c>
      <c r="G4" s="5">
        <v>15</v>
      </c>
      <c r="H4" s="5" t="s">
        <v>30</v>
      </c>
      <c r="I4" s="12">
        <v>37.25</v>
      </c>
      <c r="J4" s="12">
        <f>I4*G4</f>
        <v>558.75</v>
      </c>
      <c r="K4" s="5"/>
    </row>
    <row r="5" spans="1:11" x14ac:dyDescent="0.3">
      <c r="A5" s="4">
        <v>2</v>
      </c>
      <c r="B5" s="5" t="s">
        <v>15</v>
      </c>
      <c r="C5" s="4" t="s">
        <v>51</v>
      </c>
      <c r="D5" s="11" t="s">
        <v>43</v>
      </c>
      <c r="E5" s="4" t="s">
        <v>16</v>
      </c>
      <c r="F5" s="5">
        <v>3</v>
      </c>
      <c r="G5" s="5">
        <v>3</v>
      </c>
      <c r="H5" s="5" t="s">
        <v>30</v>
      </c>
      <c r="I5" s="12">
        <v>204</v>
      </c>
      <c r="J5" s="12">
        <f t="shared" ref="J5:J23" si="0">I5*G5</f>
        <v>612</v>
      </c>
      <c r="K5" s="5"/>
    </row>
    <row r="6" spans="1:11" x14ac:dyDescent="0.3">
      <c r="A6" s="4">
        <v>3</v>
      </c>
      <c r="B6" s="5" t="s">
        <v>17</v>
      </c>
      <c r="C6" s="4"/>
      <c r="D6" s="11" t="s">
        <v>43</v>
      </c>
      <c r="E6" s="4" t="s">
        <v>18</v>
      </c>
      <c r="F6" s="5">
        <v>3</v>
      </c>
      <c r="G6" s="5">
        <v>3</v>
      </c>
      <c r="H6" s="5" t="s">
        <v>30</v>
      </c>
      <c r="I6" s="12">
        <v>8</v>
      </c>
      <c r="J6" s="12">
        <f t="shared" si="0"/>
        <v>24</v>
      </c>
      <c r="K6" s="5"/>
    </row>
    <row r="7" spans="1:11" ht="43.2" x14ac:dyDescent="0.3">
      <c r="A7" s="4">
        <v>4</v>
      </c>
      <c r="B7" s="5" t="s">
        <v>19</v>
      </c>
      <c r="C7" s="16" t="s">
        <v>53</v>
      </c>
      <c r="D7" s="11" t="s">
        <v>43</v>
      </c>
      <c r="E7" s="4" t="s">
        <v>20</v>
      </c>
      <c r="F7" s="5">
        <v>3</v>
      </c>
      <c r="G7" s="5">
        <v>10</v>
      </c>
      <c r="H7" s="5" t="s">
        <v>30</v>
      </c>
      <c r="I7" s="12">
        <v>20</v>
      </c>
      <c r="J7" s="12">
        <f t="shared" si="0"/>
        <v>200</v>
      </c>
      <c r="K7" s="5"/>
    </row>
    <row r="8" spans="1:11" x14ac:dyDescent="0.3">
      <c r="A8" s="4">
        <v>5</v>
      </c>
      <c r="B8" s="5" t="s">
        <v>22</v>
      </c>
      <c r="C8" s="4"/>
      <c r="D8" s="11" t="s">
        <v>43</v>
      </c>
      <c r="E8" s="4" t="s">
        <v>21</v>
      </c>
      <c r="F8" s="5">
        <v>3</v>
      </c>
      <c r="G8" s="5">
        <v>0</v>
      </c>
      <c r="H8" s="5" t="s">
        <v>30</v>
      </c>
      <c r="I8" s="12">
        <v>0</v>
      </c>
      <c r="J8" s="12">
        <f t="shared" si="0"/>
        <v>0</v>
      </c>
      <c r="K8" s="5"/>
    </row>
    <row r="9" spans="1:11" x14ac:dyDescent="0.3">
      <c r="A9" s="4">
        <v>6</v>
      </c>
      <c r="B9" s="5" t="s">
        <v>23</v>
      </c>
      <c r="C9" s="4" t="s">
        <v>52</v>
      </c>
      <c r="D9" s="11" t="s">
        <v>43</v>
      </c>
      <c r="E9" s="4" t="s">
        <v>24</v>
      </c>
      <c r="F9" s="5">
        <v>3</v>
      </c>
      <c r="G9" s="5">
        <v>3</v>
      </c>
      <c r="H9" s="5" t="s">
        <v>30</v>
      </c>
      <c r="I9" s="12">
        <v>32</v>
      </c>
      <c r="J9" s="12">
        <f t="shared" si="0"/>
        <v>96</v>
      </c>
      <c r="K9" s="5"/>
    </row>
    <row r="10" spans="1:11" x14ac:dyDescent="0.3">
      <c r="A10" s="4">
        <v>7</v>
      </c>
      <c r="B10" s="5" t="s">
        <v>25</v>
      </c>
      <c r="C10" s="4"/>
      <c r="D10" s="11" t="s">
        <v>43</v>
      </c>
      <c r="E10" s="4" t="s">
        <v>26</v>
      </c>
      <c r="F10" s="5">
        <v>3</v>
      </c>
      <c r="G10" s="5">
        <v>0</v>
      </c>
      <c r="H10" s="5" t="s">
        <v>30</v>
      </c>
      <c r="I10" s="12">
        <v>0</v>
      </c>
      <c r="J10" s="12">
        <f t="shared" si="0"/>
        <v>0</v>
      </c>
      <c r="K10" s="5"/>
    </row>
    <row r="11" spans="1:11" x14ac:dyDescent="0.3">
      <c r="A11" s="4">
        <v>8</v>
      </c>
      <c r="B11" s="5" t="s">
        <v>27</v>
      </c>
      <c r="C11" s="4" t="s">
        <v>54</v>
      </c>
      <c r="D11" s="11" t="s">
        <v>43</v>
      </c>
      <c r="E11" s="4" t="s">
        <v>28</v>
      </c>
      <c r="F11" s="5">
        <v>3</v>
      </c>
      <c r="G11" s="5">
        <v>3</v>
      </c>
      <c r="H11" s="5" t="s">
        <v>30</v>
      </c>
      <c r="I11" s="12">
        <v>36.32</v>
      </c>
      <c r="J11" s="12">
        <f t="shared" si="0"/>
        <v>108.96000000000001</v>
      </c>
      <c r="K11" s="5"/>
    </row>
    <row r="12" spans="1:11" x14ac:dyDescent="0.3">
      <c r="A12" s="4">
        <v>9</v>
      </c>
      <c r="B12" s="5" t="s">
        <v>48</v>
      </c>
      <c r="C12" s="4"/>
      <c r="D12" s="11" t="s">
        <v>43</v>
      </c>
      <c r="E12" s="4" t="s">
        <v>29</v>
      </c>
      <c r="F12" s="5">
        <v>3</v>
      </c>
      <c r="G12" s="5">
        <v>3</v>
      </c>
      <c r="H12" s="5" t="s">
        <v>30</v>
      </c>
      <c r="I12" s="12">
        <v>8.5</v>
      </c>
      <c r="J12" s="12">
        <f t="shared" si="0"/>
        <v>25.5</v>
      </c>
      <c r="K12" s="5"/>
    </row>
    <row r="13" spans="1:11" x14ac:dyDescent="0.3">
      <c r="A13" s="4">
        <v>10</v>
      </c>
      <c r="B13" s="5" t="s">
        <v>49</v>
      </c>
      <c r="C13" s="4"/>
      <c r="D13" s="11" t="s">
        <v>43</v>
      </c>
      <c r="E13" s="4" t="s">
        <v>32</v>
      </c>
      <c r="F13" s="5">
        <v>12</v>
      </c>
      <c r="G13" s="5">
        <v>20</v>
      </c>
      <c r="H13" s="5" t="s">
        <v>30</v>
      </c>
      <c r="I13" s="12">
        <v>4.4000000000000004</v>
      </c>
      <c r="J13" s="12">
        <f t="shared" si="0"/>
        <v>88</v>
      </c>
      <c r="K13" s="5"/>
    </row>
    <row r="14" spans="1:11" x14ac:dyDescent="0.3">
      <c r="A14" s="4">
        <v>11</v>
      </c>
      <c r="B14" s="5" t="s">
        <v>34</v>
      </c>
      <c r="C14" s="4"/>
      <c r="D14" s="11" t="s">
        <v>43</v>
      </c>
      <c r="E14" s="4" t="s">
        <v>31</v>
      </c>
      <c r="F14" s="5">
        <v>5</v>
      </c>
      <c r="G14" s="5">
        <v>0</v>
      </c>
      <c r="H14" s="5" t="s">
        <v>30</v>
      </c>
      <c r="I14" s="12">
        <v>0</v>
      </c>
      <c r="J14" s="12">
        <f t="shared" si="0"/>
        <v>0</v>
      </c>
      <c r="K14" s="5"/>
    </row>
    <row r="15" spans="1:11" x14ac:dyDescent="0.3">
      <c r="A15" s="4">
        <v>12</v>
      </c>
      <c r="B15" s="5" t="s">
        <v>35</v>
      </c>
      <c r="C15" s="4"/>
      <c r="D15" s="11" t="s">
        <v>43</v>
      </c>
      <c r="E15" s="4" t="s">
        <v>31</v>
      </c>
      <c r="F15" s="5">
        <v>12</v>
      </c>
      <c r="G15" s="5">
        <v>0</v>
      </c>
      <c r="H15" s="5" t="s">
        <v>30</v>
      </c>
      <c r="I15" s="12">
        <v>0</v>
      </c>
      <c r="J15" s="12">
        <f t="shared" si="0"/>
        <v>0</v>
      </c>
      <c r="K15" s="5"/>
    </row>
    <row r="16" spans="1:11" x14ac:dyDescent="0.3">
      <c r="A16" s="4">
        <v>13</v>
      </c>
      <c r="B16" s="5" t="s">
        <v>36</v>
      </c>
      <c r="C16" s="4"/>
      <c r="D16" s="11" t="s">
        <v>43</v>
      </c>
      <c r="E16" s="4" t="s">
        <v>31</v>
      </c>
      <c r="F16" s="5">
        <v>3</v>
      </c>
      <c r="G16" s="5">
        <v>0</v>
      </c>
      <c r="H16" s="5" t="s">
        <v>30</v>
      </c>
      <c r="I16" s="12">
        <v>0</v>
      </c>
      <c r="J16" s="12">
        <f t="shared" si="0"/>
        <v>0</v>
      </c>
      <c r="K16" s="5"/>
    </row>
    <row r="17" spans="1:11" x14ac:dyDescent="0.3">
      <c r="A17" s="4">
        <v>14</v>
      </c>
      <c r="B17" s="5" t="s">
        <v>37</v>
      </c>
      <c r="C17" s="4"/>
      <c r="D17" s="11" t="s">
        <v>43</v>
      </c>
      <c r="E17" s="4" t="s">
        <v>31</v>
      </c>
      <c r="F17" s="5">
        <v>3</v>
      </c>
      <c r="G17" s="5">
        <v>0</v>
      </c>
      <c r="H17" s="5" t="s">
        <v>30</v>
      </c>
      <c r="I17" s="12">
        <v>0</v>
      </c>
      <c r="J17" s="12">
        <f t="shared" si="0"/>
        <v>0</v>
      </c>
      <c r="K17" s="5"/>
    </row>
    <row r="18" spans="1:11" x14ac:dyDescent="0.3">
      <c r="A18" s="4">
        <v>15</v>
      </c>
      <c r="B18" s="5" t="s">
        <v>38</v>
      </c>
      <c r="C18" s="4"/>
      <c r="D18" s="11" t="s">
        <v>43</v>
      </c>
      <c r="E18" s="4" t="s">
        <v>31</v>
      </c>
      <c r="F18" s="5">
        <v>3</v>
      </c>
      <c r="G18" s="5">
        <v>0</v>
      </c>
      <c r="H18" s="5" t="s">
        <v>30</v>
      </c>
      <c r="I18" s="12">
        <v>0</v>
      </c>
      <c r="J18" s="12">
        <f t="shared" si="0"/>
        <v>0</v>
      </c>
      <c r="K18" s="5"/>
    </row>
    <row r="19" spans="1:11" x14ac:dyDescent="0.3">
      <c r="A19" s="4">
        <v>16</v>
      </c>
      <c r="B19" s="5" t="s">
        <v>39</v>
      </c>
      <c r="C19" s="4"/>
      <c r="D19" s="11" t="s">
        <v>43</v>
      </c>
      <c r="E19" s="4" t="s">
        <v>33</v>
      </c>
      <c r="F19" s="5">
        <v>8</v>
      </c>
      <c r="G19" s="5">
        <v>0</v>
      </c>
      <c r="H19" s="5" t="s">
        <v>30</v>
      </c>
      <c r="I19" s="12">
        <v>0</v>
      </c>
      <c r="J19" s="12">
        <f t="shared" si="0"/>
        <v>0</v>
      </c>
      <c r="K19" s="5"/>
    </row>
    <row r="20" spans="1:11" x14ac:dyDescent="0.3">
      <c r="A20" s="4">
        <v>17</v>
      </c>
      <c r="B20" s="5" t="s">
        <v>41</v>
      </c>
      <c r="C20" s="4"/>
      <c r="D20" s="11" t="s">
        <v>43</v>
      </c>
      <c r="E20" s="4" t="s">
        <v>33</v>
      </c>
      <c r="F20" s="5">
        <v>3</v>
      </c>
      <c r="G20" s="5">
        <v>0</v>
      </c>
      <c r="H20" s="5" t="s">
        <v>30</v>
      </c>
      <c r="I20" s="12">
        <v>0</v>
      </c>
      <c r="J20" s="12">
        <f t="shared" si="0"/>
        <v>0</v>
      </c>
      <c r="K20" s="5"/>
    </row>
    <row r="21" spans="1:11" x14ac:dyDescent="0.3">
      <c r="A21" s="4">
        <v>18</v>
      </c>
      <c r="B21" s="5" t="s">
        <v>40</v>
      </c>
      <c r="C21" s="4"/>
      <c r="D21" s="11" t="s">
        <v>43</v>
      </c>
      <c r="E21" s="4" t="s">
        <v>33</v>
      </c>
      <c r="F21" s="5">
        <v>3</v>
      </c>
      <c r="G21" s="5">
        <v>0</v>
      </c>
      <c r="H21" s="5" t="s">
        <v>30</v>
      </c>
      <c r="I21" s="12">
        <v>0</v>
      </c>
      <c r="J21" s="12">
        <f t="shared" si="0"/>
        <v>0</v>
      </c>
      <c r="K21" s="5"/>
    </row>
    <row r="22" spans="1:11" x14ac:dyDescent="0.3">
      <c r="A22" s="4">
        <v>19</v>
      </c>
      <c r="B22" s="9" t="s">
        <v>42</v>
      </c>
      <c r="C22" s="8"/>
      <c r="D22" s="14" t="s">
        <v>43</v>
      </c>
      <c r="E22" s="8" t="s">
        <v>33</v>
      </c>
      <c r="F22" s="9">
        <v>12</v>
      </c>
      <c r="G22" s="9">
        <v>0</v>
      </c>
      <c r="H22" s="9" t="s">
        <v>30</v>
      </c>
      <c r="I22" s="13">
        <v>0</v>
      </c>
      <c r="J22" s="13">
        <f t="shared" si="0"/>
        <v>0</v>
      </c>
      <c r="K22" s="5"/>
    </row>
    <row r="23" spans="1:11" x14ac:dyDescent="0.3">
      <c r="A23" s="17">
        <v>20</v>
      </c>
      <c r="B23" s="17" t="s">
        <v>46</v>
      </c>
      <c r="C23" s="17"/>
      <c r="D23" s="14" t="s">
        <v>43</v>
      </c>
      <c r="E23" s="17" t="s">
        <v>45</v>
      </c>
      <c r="F23" s="17">
        <v>5</v>
      </c>
      <c r="G23" s="17">
        <v>5</v>
      </c>
      <c r="H23" s="17" t="s">
        <v>30</v>
      </c>
      <c r="I23" s="18">
        <v>40</v>
      </c>
      <c r="J23" s="18">
        <f t="shared" si="0"/>
        <v>200</v>
      </c>
      <c r="K23" s="19" t="s">
        <v>47</v>
      </c>
    </row>
    <row r="24" spans="1:11" ht="15" thickBot="1" x14ac:dyDescent="0.35">
      <c r="A24" s="17"/>
      <c r="B24" s="17"/>
      <c r="C24" s="17"/>
      <c r="D24" s="14" t="s">
        <v>43</v>
      </c>
      <c r="E24" s="17"/>
      <c r="F24" s="17"/>
      <c r="G24" s="17"/>
      <c r="H24" s="17"/>
      <c r="I24" s="18"/>
      <c r="J24" s="18"/>
      <c r="K24" s="19"/>
    </row>
    <row r="25" spans="1:11" ht="15" thickBot="1" x14ac:dyDescent="0.35">
      <c r="B25" s="20" t="s">
        <v>44</v>
      </c>
      <c r="C25" s="21"/>
      <c r="D25" s="22"/>
      <c r="E25" s="21"/>
      <c r="F25" s="21"/>
      <c r="G25" s="21"/>
      <c r="H25" s="21"/>
      <c r="I25" s="21"/>
      <c r="J25" s="15">
        <f>SUM(J4:J24)</f>
        <v>1913.21</v>
      </c>
    </row>
    <row r="26" spans="1:11" x14ac:dyDescent="0.3">
      <c r="B26" s="10"/>
      <c r="F26" s="10"/>
      <c r="G26" s="10"/>
      <c r="H26" s="10"/>
      <c r="J26" s="10"/>
    </row>
    <row r="27" spans="1:11" x14ac:dyDescent="0.3">
      <c r="B27" s="10"/>
      <c r="F27" s="10"/>
      <c r="G27" s="10"/>
      <c r="H27" s="10"/>
      <c r="J27" s="10"/>
    </row>
    <row r="28" spans="1:11" x14ac:dyDescent="0.3">
      <c r="B28" s="10"/>
      <c r="F28" s="10"/>
      <c r="G28" s="10"/>
      <c r="H28" s="10"/>
      <c r="J28" s="10"/>
    </row>
    <row r="29" spans="1:11" x14ac:dyDescent="0.3">
      <c r="B29" s="10"/>
      <c r="F29" s="10"/>
      <c r="G29" s="10"/>
      <c r="H29" s="10"/>
      <c r="J29" s="10"/>
    </row>
    <row r="30" spans="1:11" x14ac:dyDescent="0.3">
      <c r="B30" s="10"/>
      <c r="F30" s="10"/>
      <c r="G30" s="10"/>
      <c r="H30" s="10"/>
      <c r="J30" s="10"/>
    </row>
    <row r="31" spans="1:11" x14ac:dyDescent="0.3">
      <c r="B31" s="10"/>
      <c r="F31" s="10"/>
      <c r="G31" s="10"/>
      <c r="H31" s="10"/>
      <c r="J31" s="10"/>
    </row>
    <row r="32" spans="1:11" x14ac:dyDescent="0.3">
      <c r="B32" s="10"/>
      <c r="F32" s="10"/>
      <c r="G32" s="10"/>
      <c r="H32" s="10"/>
      <c r="J32" s="10"/>
    </row>
    <row r="33" spans="2:10" x14ac:dyDescent="0.3">
      <c r="B33" s="10"/>
      <c r="F33" s="10"/>
      <c r="G33" s="10"/>
      <c r="H33" s="10"/>
      <c r="J33" s="10"/>
    </row>
    <row r="34" spans="2:10" x14ac:dyDescent="0.3">
      <c r="B34" s="10"/>
      <c r="F34" s="10"/>
      <c r="G34" s="10"/>
      <c r="H34" s="10"/>
      <c r="J34" s="10"/>
    </row>
    <row r="35" spans="2:10" x14ac:dyDescent="0.3">
      <c r="B35" s="10"/>
      <c r="F35" s="10"/>
      <c r="G35" s="10"/>
      <c r="H35" s="10"/>
      <c r="J35" s="10"/>
    </row>
    <row r="36" spans="2:10" x14ac:dyDescent="0.3">
      <c r="B36" s="10"/>
      <c r="F36" s="10"/>
      <c r="G36" s="10"/>
      <c r="H36" s="10"/>
      <c r="J36" s="10"/>
    </row>
  </sheetData>
  <mergeCells count="14">
    <mergeCell ref="A23:A24"/>
    <mergeCell ref="A2:E2"/>
    <mergeCell ref="A1:K1"/>
    <mergeCell ref="F2:K2"/>
    <mergeCell ref="B23:B24"/>
    <mergeCell ref="C23:C24"/>
    <mergeCell ref="E23:E24"/>
    <mergeCell ref="F23:F24"/>
    <mergeCell ref="G23:G24"/>
    <mergeCell ref="H23:H24"/>
    <mergeCell ref="I23:I24"/>
    <mergeCell ref="J23:J24"/>
    <mergeCell ref="K23:K24"/>
    <mergeCell ref="B25:I25"/>
  </mergeCells>
  <hyperlinks>
    <hyperlink ref="D4" r:id="rId1" xr:uid="{E5470E89-C128-434E-A889-FCF79760919D}"/>
    <hyperlink ref="D5" r:id="rId2" xr:uid="{DCFC221C-C631-430A-A5BE-EB191351D6E6}"/>
    <hyperlink ref="D6" r:id="rId3" xr:uid="{6791F1D6-9AD4-40DA-B29F-C2A42E98DA58}"/>
    <hyperlink ref="D23" r:id="rId4" xr:uid="{00A91606-3DD0-48C9-B86D-4F26DD617EC6}"/>
    <hyperlink ref="D24" r:id="rId5" xr:uid="{2A9B207F-CAD9-4B06-A0CD-ED6F1A6F20DE}"/>
    <hyperlink ref="D7" r:id="rId6" xr:uid="{96E383E2-AFF7-47A2-A444-63A2454D2D72}"/>
    <hyperlink ref="D11" r:id="rId7" xr:uid="{F9D6EB39-2ED1-418B-9764-0D7B6F445B77}"/>
    <hyperlink ref="D12" r:id="rId8" xr:uid="{496F1DE9-8A6C-4430-BDB3-7FDBC015C460}"/>
    <hyperlink ref="D13" r:id="rId9" xr:uid="{C2B9E180-5222-4864-9011-223D2B4BD828}"/>
    <hyperlink ref="D14" r:id="rId10" xr:uid="{36C4F25F-D9F6-4F76-B1D3-22014AF8E893}"/>
    <hyperlink ref="D10" r:id="rId11" xr:uid="{CE84A8B7-BBED-45C4-9BC4-3EAC75DEDA3B}"/>
    <hyperlink ref="D9" r:id="rId12" xr:uid="{CB03E961-5E56-4A8F-8030-0D183994BF22}"/>
    <hyperlink ref="D8" r:id="rId13" xr:uid="{1A4910A0-BD46-4E2D-9EC1-A8CF4F9B0311}"/>
    <hyperlink ref="D15" r:id="rId14" xr:uid="{0F07E4D7-9B90-48AB-9D1C-5647A32C0E1F}"/>
    <hyperlink ref="D16" r:id="rId15" xr:uid="{256EBD31-C888-4E57-8592-75C87026AC85}"/>
    <hyperlink ref="D17" r:id="rId16" xr:uid="{F38123B9-1318-43B3-9A2C-EC9FECAF2D49}"/>
    <hyperlink ref="D18" r:id="rId17" xr:uid="{3D7D4077-4C12-4965-946A-E6F37709B3CD}"/>
    <hyperlink ref="D19" r:id="rId18" xr:uid="{6D902C83-C8C7-4FCF-81F9-A9744AFD6149}"/>
    <hyperlink ref="D20" r:id="rId19" xr:uid="{11398139-1FEA-448B-8FDC-84586ACC5D28}"/>
    <hyperlink ref="D21" r:id="rId20" xr:uid="{EC505CC3-2894-44D0-A322-5977B0A5279A}"/>
    <hyperlink ref="D22" r:id="rId21" xr:uid="{18312C63-018E-49CA-9856-C04CBDEF9644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Tue 20252172M</dc:creator>
  <cp:lastModifiedBy>Tuệ Minh</cp:lastModifiedBy>
  <dcterms:created xsi:type="dcterms:W3CDTF">2026-09-10T13:31:25Z</dcterms:created>
  <dcterms:modified xsi:type="dcterms:W3CDTF">2026-09-11T06:36:16Z</dcterms:modified>
</cp:coreProperties>
</file>